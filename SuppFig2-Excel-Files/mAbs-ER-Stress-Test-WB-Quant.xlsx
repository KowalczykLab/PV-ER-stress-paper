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rynstump/Desktop/ER Stress Paper/ER-Stress-Paper-Figures&amp;Data/Raw-Files-for-Scholarsphere/Supp-Fig1-RawFiles/"/>
    </mc:Choice>
  </mc:AlternateContent>
  <xr:revisionPtr revIDLastSave="0" documentId="13_ncr:1_{2F4A69D7-551C-F445-9F11-44F076A0BC6E}" xr6:coauthVersionLast="47" xr6:coauthVersionMax="47" xr10:uidLastSave="{00000000-0000-0000-0000-000000000000}"/>
  <bookViews>
    <workbookView xWindow="7540" yWindow="500" windowWidth="21260" windowHeight="15640" activeTab="1" xr2:uid="{81E9CCED-FE55-F342-A06B-C4B096DD8D08}"/>
  </bookViews>
  <sheets>
    <sheet name="Collated" sheetId="7" r:id="rId1"/>
    <sheet name="n1-peIF2a" sheetId="2" r:id="rId2"/>
    <sheet name="n1-pIRE1a" sheetId="1" r:id="rId3"/>
    <sheet name="n2-peIF2a" sheetId="3" r:id="rId4"/>
    <sheet name="n2-pIRE1a" sheetId="4" r:id="rId5"/>
    <sheet name="n3-peIF2a" sheetId="5" r:id="rId6"/>
    <sheet name="n3-pIRE1a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E5" i="1"/>
  <c r="D3" i="1"/>
  <c r="E3" i="1" s="1"/>
  <c r="D4" i="1"/>
  <c r="E4" i="1" s="1"/>
  <c r="D5" i="1"/>
  <c r="D2" i="1"/>
  <c r="E2" i="1" s="1"/>
  <c r="F2" i="1" s="1"/>
  <c r="D3" i="2"/>
  <c r="E3" i="2" s="1"/>
  <c r="D4" i="2"/>
  <c r="E4" i="2" s="1"/>
  <c r="F4" i="2" s="1"/>
  <c r="D5" i="2"/>
  <c r="E5" i="2" s="1"/>
  <c r="D2" i="2"/>
  <c r="E2" i="2" s="1"/>
  <c r="F2" i="2" s="1"/>
  <c r="D3" i="5"/>
  <c r="E3" i="5" s="1"/>
  <c r="D4" i="5"/>
  <c r="E4" i="5" s="1"/>
  <c r="D5" i="5"/>
  <c r="E5" i="5" s="1"/>
  <c r="D2" i="5"/>
  <c r="E2" i="5" s="1"/>
  <c r="F2" i="5" s="1"/>
  <c r="D3" i="6"/>
  <c r="E3" i="6" s="1"/>
  <c r="D4" i="6"/>
  <c r="E4" i="6" s="1"/>
  <c r="D5" i="6"/>
  <c r="E5" i="6" s="1"/>
  <c r="D2" i="6"/>
  <c r="E2" i="6" s="1"/>
  <c r="F2" i="6" s="1"/>
  <c r="D3" i="3"/>
  <c r="E3" i="3" s="1"/>
  <c r="F3" i="3" s="1"/>
  <c r="D4" i="3"/>
  <c r="E4" i="3" s="1"/>
  <c r="F4" i="3" s="1"/>
  <c r="D5" i="3"/>
  <c r="E5" i="3" s="1"/>
  <c r="F5" i="3" s="1"/>
  <c r="D2" i="3"/>
  <c r="E2" i="3" s="1"/>
  <c r="F2" i="3" s="1"/>
  <c r="D3" i="4"/>
  <c r="E3" i="4" s="1"/>
  <c r="D4" i="4"/>
  <c r="E4" i="4" s="1"/>
  <c r="D5" i="4"/>
  <c r="E5" i="4" s="1"/>
  <c r="D2" i="4"/>
  <c r="E2" i="4" s="1"/>
  <c r="F2" i="4" s="1"/>
  <c r="F4" i="6" l="1"/>
  <c r="F3" i="6"/>
  <c r="F5" i="6"/>
  <c r="F3" i="5"/>
  <c r="F5" i="5"/>
  <c r="F4" i="5"/>
  <c r="F5" i="4"/>
  <c r="F3" i="4"/>
  <c r="F4" i="4"/>
  <c r="F4" i="1"/>
  <c r="F3" i="1"/>
  <c r="F5" i="2"/>
  <c r="F3" i="2"/>
</calcChain>
</file>

<file path=xl/sharedStrings.xml><?xml version="1.0" encoding="utf-8"?>
<sst xmlns="http://schemas.openxmlformats.org/spreadsheetml/2006/main" count="68" uniqueCount="19">
  <si>
    <t>p-IRE Intensity</t>
  </si>
  <si>
    <t>Total IRE Intensity</t>
  </si>
  <si>
    <t>Normalized Total IRE</t>
  </si>
  <si>
    <t>Normalized p-IRE (to total)</t>
  </si>
  <si>
    <t>p-IRE Relative to NH IgG</t>
  </si>
  <si>
    <t>NH</t>
  </si>
  <si>
    <t>PV1a</t>
  </si>
  <si>
    <t>PV2</t>
  </si>
  <si>
    <t>p-eIF2a Intensity</t>
  </si>
  <si>
    <t>Total eIF2a Intensity</t>
  </si>
  <si>
    <t>Normalized Total eIF2a</t>
  </si>
  <si>
    <t>Normalized p-eIF2a (to total)</t>
  </si>
  <si>
    <t>p-eIF2a Relative to NH IgG</t>
  </si>
  <si>
    <t>AK23</t>
  </si>
  <si>
    <t>n=1</t>
  </si>
  <si>
    <t>n=2</t>
  </si>
  <si>
    <t>n=3</t>
  </si>
  <si>
    <t>RERUN on 11/4/24</t>
  </si>
  <si>
    <t>Run on 11/4/24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</si>
</sst>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Helvetica"/>
      <family val="2"/>
    </font>
    <font>
      <b/>
      <sz val="12"/>
      <color theme="1"/>
      <name val="Helvetica"/>
      <family val="2"/>
    </font>
    <font>
      <b/>
      <sz val="12"/>
      <color rgb="FF000000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'n1-peIF2a'!$A$2:$A$5</c:f>
              <c:strCache>
                <c:ptCount val="4"/>
                <c:pt idx="0">
                  <c:v>NH</c:v>
                </c:pt>
                <c:pt idx="1">
                  <c:v>PV1a</c:v>
                </c:pt>
                <c:pt idx="2">
                  <c:v>PV2</c:v>
                </c:pt>
                <c:pt idx="3">
                  <c:v>AK23</c:v>
                </c:pt>
              </c:strCache>
            </c:strRef>
          </c:cat>
          <c:val>
            <c:numRef>
              <c:f>'n1-peIF2a'!$F$2:$F$5</c:f>
              <c:numCache>
                <c:formatCode>0.00</c:formatCode>
                <c:ptCount val="4"/>
                <c:pt idx="0">
                  <c:v>1</c:v>
                </c:pt>
                <c:pt idx="1">
                  <c:v>6.4063700289656715</c:v>
                </c:pt>
                <c:pt idx="2">
                  <c:v>3.8300256294934969</c:v>
                </c:pt>
                <c:pt idx="3">
                  <c:v>1.0886248216118333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4-BA4C-B3FA-90CACB51A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617648"/>
        <c:axId val="1215768048"/>
      </c:barChart>
      <c:catAx>
        <c:axId val="121561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768048"/>
        <c:crosses val="autoZero"/>
        <c:auto val="1"/>
        <c:lblAlgn val="ctr"/>
        <c:lblOffset val="100"/>
        <c:noMultiLvlLbl val="0"/>
      </c:catAx>
      <c:valAx>
        <c:axId val="1215768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Units (peIF2a/Total eIF2a)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61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'n1-pIRE1a'!$A$2:$A$5</c:f>
              <c:strCache>
                <c:ptCount val="4"/>
                <c:pt idx="0">
                  <c:v>NH</c:v>
                </c:pt>
                <c:pt idx="1">
                  <c:v>PV1a</c:v>
                </c:pt>
                <c:pt idx="2">
                  <c:v>PV2</c:v>
                </c:pt>
                <c:pt idx="3">
                  <c:v>AK23</c:v>
                </c:pt>
              </c:strCache>
            </c:strRef>
          </c:cat>
          <c:val>
            <c:numRef>
              <c:f>'n1-pIRE1a'!$F$2:$F$5</c:f>
              <c:numCache>
                <c:formatCode>0.00</c:formatCode>
                <c:ptCount val="4"/>
                <c:pt idx="0">
                  <c:v>1</c:v>
                </c:pt>
                <c:pt idx="1">
                  <c:v>3.6345002087958886</c:v>
                </c:pt>
                <c:pt idx="2">
                  <c:v>2.79100552335834</c:v>
                </c:pt>
                <c:pt idx="3">
                  <c:v>9.4442422904241666E-2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9-F047-8739-4EEFF994C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7246608"/>
        <c:axId val="1487273696"/>
      </c:barChart>
      <c:catAx>
        <c:axId val="148724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87273696"/>
        <c:crosses val="autoZero"/>
        <c:auto val="1"/>
        <c:lblAlgn val="ctr"/>
        <c:lblOffset val="100"/>
        <c:noMultiLvlLbl val="0"/>
      </c:catAx>
      <c:valAx>
        <c:axId val="14872736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Relative Units (pIRE1a/Total IRE1a)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8724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'n2-peIF2a'!$A$2:$A$5</c:f>
              <c:strCache>
                <c:ptCount val="4"/>
                <c:pt idx="0">
                  <c:v>NH</c:v>
                </c:pt>
                <c:pt idx="1">
                  <c:v>PV1a</c:v>
                </c:pt>
                <c:pt idx="2">
                  <c:v>PV2</c:v>
                </c:pt>
                <c:pt idx="3">
                  <c:v>AK23</c:v>
                </c:pt>
              </c:strCache>
            </c:strRef>
          </c:cat>
          <c:val>
            <c:numRef>
              <c:f>'n2-peIF2a'!$F$2:$F$5</c:f>
              <c:numCache>
                <c:formatCode>0.00</c:formatCode>
                <c:ptCount val="4"/>
                <c:pt idx="0">
                  <c:v>1</c:v>
                </c:pt>
                <c:pt idx="1">
                  <c:v>2.8438852947972451</c:v>
                </c:pt>
                <c:pt idx="2">
                  <c:v>2.6971920089472032</c:v>
                </c:pt>
                <c:pt idx="3">
                  <c:v>1.5904767000881566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1-DE4E-95C8-4C0F0085D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7907615"/>
        <c:axId val="2117909343"/>
      </c:barChart>
      <c:catAx>
        <c:axId val="211790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7909343"/>
        <c:crosses val="autoZero"/>
        <c:auto val="1"/>
        <c:lblAlgn val="ctr"/>
        <c:lblOffset val="100"/>
        <c:noMultiLvlLbl val="0"/>
      </c:catAx>
      <c:valAx>
        <c:axId val="21179093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Relative Units (peIF2a/Total eIF2a)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7907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'n2-pIRE1a'!$A$2:$A$5</c:f>
              <c:strCache>
                <c:ptCount val="4"/>
                <c:pt idx="0">
                  <c:v>NH</c:v>
                </c:pt>
                <c:pt idx="1">
                  <c:v>PV1a</c:v>
                </c:pt>
                <c:pt idx="2">
                  <c:v>PV2</c:v>
                </c:pt>
                <c:pt idx="3">
                  <c:v>AK23</c:v>
                </c:pt>
              </c:strCache>
            </c:strRef>
          </c:cat>
          <c:val>
            <c:numRef>
              <c:f>'n2-pIRE1a'!$F$2:$F$5</c:f>
              <c:numCache>
                <c:formatCode>0.00</c:formatCode>
                <c:ptCount val="4"/>
                <c:pt idx="0">
                  <c:v>1</c:v>
                </c:pt>
                <c:pt idx="1">
                  <c:v>1.9462977071388707</c:v>
                </c:pt>
                <c:pt idx="2">
                  <c:v>2.5980627149678917</c:v>
                </c:pt>
                <c:pt idx="3">
                  <c:v>0.88370813055558517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87-C64F-9137-410AD30ED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8619071"/>
        <c:axId val="2071786591"/>
      </c:barChart>
      <c:catAx>
        <c:axId val="204861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1786591"/>
        <c:crosses val="autoZero"/>
        <c:auto val="1"/>
        <c:lblAlgn val="ctr"/>
        <c:lblOffset val="100"/>
        <c:noMultiLvlLbl val="0"/>
      </c:catAx>
      <c:valAx>
        <c:axId val="20717865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Relative Units (pIRE1a/Total IRE1a)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861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'n3-peIF2a'!$A$2:$A$5</c:f>
              <c:strCache>
                <c:ptCount val="4"/>
                <c:pt idx="0">
                  <c:v>NH</c:v>
                </c:pt>
                <c:pt idx="1">
                  <c:v>PV1a</c:v>
                </c:pt>
                <c:pt idx="2">
                  <c:v>PV2</c:v>
                </c:pt>
                <c:pt idx="3">
                  <c:v>AK23</c:v>
                </c:pt>
              </c:strCache>
            </c:strRef>
          </c:cat>
          <c:val>
            <c:numRef>
              <c:f>'n3-peIF2a'!$F$2:$F$5</c:f>
              <c:numCache>
                <c:formatCode>0.00</c:formatCode>
                <c:ptCount val="4"/>
                <c:pt idx="0">
                  <c:v>1</c:v>
                </c:pt>
                <c:pt idx="1">
                  <c:v>5.4191462841853841</c:v>
                </c:pt>
                <c:pt idx="2">
                  <c:v>3.0552717618504377</c:v>
                </c:pt>
                <c:pt idx="3">
                  <c:v>0.70442853514286685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6-6F47-BD1A-22BF060FB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8713151"/>
        <c:axId val="2118550223"/>
      </c:barChart>
      <c:catAx>
        <c:axId val="211871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8550223"/>
        <c:crosses val="autoZero"/>
        <c:auto val="1"/>
        <c:lblAlgn val="ctr"/>
        <c:lblOffset val="100"/>
        <c:noMultiLvlLbl val="0"/>
      </c:catAx>
      <c:valAx>
        <c:axId val="21185502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Relative Units (peIF2a/Total eIF2a)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871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'n3-pIRE1a'!$A$2:$A$5</c:f>
              <c:strCache>
                <c:ptCount val="4"/>
                <c:pt idx="0">
                  <c:v>NH</c:v>
                </c:pt>
                <c:pt idx="1">
                  <c:v>PV1a</c:v>
                </c:pt>
                <c:pt idx="2">
                  <c:v>PV2</c:v>
                </c:pt>
                <c:pt idx="3">
                  <c:v>AK23</c:v>
                </c:pt>
              </c:strCache>
            </c:strRef>
          </c:cat>
          <c:val>
            <c:numRef>
              <c:f>'n3-pIRE1a'!$F$2:$F$5</c:f>
              <c:numCache>
                <c:formatCode>0.00</c:formatCode>
                <c:ptCount val="4"/>
                <c:pt idx="0">
                  <c:v>1</c:v>
                </c:pt>
                <c:pt idx="1">
                  <c:v>2.3528923579825842</c:v>
                </c:pt>
                <c:pt idx="2">
                  <c:v>3.1957908259937109</c:v>
                </c:pt>
                <c:pt idx="3">
                  <c:v>0.90078056693453434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D-FC4C-B54A-06E600307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9593375"/>
        <c:axId val="2100229727"/>
      </c:barChart>
      <c:catAx>
        <c:axId val="209959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00229727"/>
        <c:crosses val="autoZero"/>
        <c:auto val="1"/>
        <c:lblAlgn val="ctr"/>
        <c:lblOffset val="100"/>
        <c:noMultiLvlLbl val="0"/>
      </c:catAx>
      <c:valAx>
        <c:axId val="21002297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Relative Units (pIRE1a/Total</a:t>
                </a:r>
                <a:r>
                  <a:rPr lang="en-US" baseline="0"/>
                  <a:t> IRE1a)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9593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381605</xdr:colOff>
      <xdr:row>6</xdr:row>
      <xdr:rowOff>185058</xdr:rowOff>
    </xdr:from>
    <xdr:to>
      <xdr:col>5</xdr:col>
      <xdr:colOff>1617738</xdr:colOff>
      <xdr:row>16</xdr:row>
      <xdr:rowOff>83458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92CE87-BEC9-ED47-B51D-AD53D002F9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1578336</xdr:colOff>
      <xdr:row>6</xdr:row>
      <xdr:rowOff>35743</xdr:rowOff>
    </xdr:from>
    <xdr:to>
      <xdr:col>6</xdr:col>
      <xdr:colOff>52372</xdr:colOff>
      <xdr:row>15</xdr:row>
      <xdr:rowOff>143626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F8DEC3-5350-3E47-A6C7-CE1B7121E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1552100</xdr:colOff>
      <xdr:row>6</xdr:row>
      <xdr:rowOff>83864</xdr:rowOff>
    </xdr:from>
    <xdr:to>
      <xdr:col>6</xdr:col>
      <xdr:colOff>225607</xdr:colOff>
      <xdr:row>19</xdr:row>
      <xdr:rowOff>186631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2A6CC0-7451-E27D-E1F3-7B368243F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1410179</xdr:colOff>
      <xdr:row>6</xdr:row>
      <xdr:rowOff>197928</xdr:rowOff>
    </xdr:from>
    <xdr:to>
      <xdr:col>6</xdr:col>
      <xdr:colOff>506802</xdr:colOff>
      <xdr:row>20</xdr:row>
      <xdr:rowOff>89618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3D3001-33F5-CF43-D7DF-DA84C61442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463550</xdr:colOff>
      <xdr:row>6</xdr:row>
      <xdr:rowOff>44450</xdr:rowOff>
    </xdr:from>
    <xdr:to>
      <xdr:col>6</xdr:col>
      <xdr:colOff>882650</xdr:colOff>
      <xdr:row>19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F220D6-68B8-19BB-F438-DCC2043E7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6</xdr:row>
      <xdr:rowOff>95250</xdr:rowOff>
    </xdr:from>
    <xdr:to>
      <xdr:col>6</xdr:col>
      <xdr:colOff>920750</xdr:colOff>
      <xdr:row>19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431249-A6F4-5E79-9872-C676C2ED1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74FB9-33BA-874D-ABBA-B0D4126B5B2C}">
  <dimension ref="A1:G7"/>
  <sheetViews>
    <sheetView zoomScale="125" workbookViewId="0">
      <selection activeCell="C10" sqref="C10"/>
    </sheetView>
  </sheetViews>
  <sheetFormatPr baseColWidth="10" defaultRowHeight="16" x14ac:dyDescent="0.2"/>
  <cols>
    <col min="2" max="2" width="10.5703125" customWidth="1"/>
  </cols>
  <sheetData>
    <row r="1" spans="1:7" x14ac:dyDescent="0.2">
      <c r="B1" s="13" t="s">
        <v>12</v>
      </c>
      <c r="C1" s="14"/>
      <c r="D1" s="15"/>
      <c r="E1" s="16" t="s">
        <v>4</v>
      </c>
      <c r="F1" s="17"/>
      <c r="G1" s="17"/>
    </row>
    <row r="2" spans="1:7" x14ac:dyDescent="0.2">
      <c r="B2" s="5" t="s">
        <v>14</v>
      </c>
      <c r="C2" s="5" t="s">
        <v>15</v>
      </c>
      <c r="D2" s="5" t="s">
        <v>16</v>
      </c>
      <c r="E2" s="5" t="s">
        <v>14</v>
      </c>
      <c r="F2" s="5" t="s">
        <v>15</v>
      </c>
      <c r="G2" s="5" t="s">
        <v>16</v>
      </c>
    </row>
    <row r="3" spans="1:7" x14ac:dyDescent="0.2">
      <c r="A3" s="5" t="s">
        <v>5</v>
      </c>
      <c r="B3" s="11">
        <v>1</v>
      </c>
      <c r="C3" s="11">
        <v>1</v>
      </c>
      <c r="D3" s="11">
        <v>1</v>
      </c>
      <c r="E3" s="11">
        <v>1</v>
      </c>
      <c r="F3" s="11">
        <v>1</v>
      </c>
      <c r="G3" s="11">
        <v>1</v>
      </c>
    </row>
    <row r="4" spans="1:7" x14ac:dyDescent="0.2">
      <c r="A4" s="5" t="s">
        <v>6</v>
      </c>
      <c r="B4" s="11">
        <v>6.4063700289656715</v>
      </c>
      <c r="C4" s="11">
        <v>2.8438852947972451</v>
      </c>
      <c r="D4" s="11">
        <v>5.4191462841853841</v>
      </c>
      <c r="E4" s="11">
        <v>3.6345002087958886</v>
      </c>
      <c r="F4" s="11">
        <v>1.9462977071388707</v>
      </c>
      <c r="G4" s="11">
        <v>2.3528923579825842</v>
      </c>
    </row>
    <row r="5" spans="1:7" x14ac:dyDescent="0.2">
      <c r="A5" s="5" t="s">
        <v>7</v>
      </c>
      <c r="B5" s="11">
        <v>3.8300256294934969</v>
      </c>
      <c r="C5" s="11">
        <v>2.6971920089472032</v>
      </c>
      <c r="D5" s="11">
        <v>3.0552717618504377</v>
      </c>
      <c r="E5" s="11">
        <v>2.79100552335834</v>
      </c>
      <c r="F5" s="11">
        <v>2.5980627149678917</v>
      </c>
      <c r="G5" s="11">
        <v>3.1957908259937109</v>
      </c>
    </row>
    <row r="6" spans="1:7" x14ac:dyDescent="0.2">
      <c r="A6" s="5" t="s">
        <v>13</v>
      </c>
      <c r="B6" s="11">
        <v>1.0886248216118333</v>
      </c>
      <c r="C6" s="11">
        <v>1.5904767000881566</v>
      </c>
      <c r="D6" s="11">
        <v>0.70442853514286685</v>
      </c>
      <c r="E6" s="11">
        <v>9.5389185239244806E-2</v>
      </c>
      <c r="F6" s="11">
        <v>0.88370813055558517</v>
      </c>
      <c r="G6" s="11">
        <v>0.90078056693453401</v>
      </c>
    </row>
    <row r="7" spans="1:7" x14ac:dyDescent="0.2">
      <c r="B7" s="6"/>
      <c r="C7" s="6"/>
      <c r="D7" s="6"/>
      <c r="E7" s="6"/>
      <c r="F7" s="6"/>
      <c r="G7" s="6"/>
    </row>
  </sheetData>
  <mergeCells count="2">
    <mergeCell ref="B1:D1"/>
    <mergeCell ref="E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9440-D16D-9B44-87BF-9668C6E6457B}">
  <dimension ref="A1:F5"/>
  <sheetViews>
    <sheetView tabSelected="1" zoomScale="84" workbookViewId="0">
      <selection activeCell="H10" sqref="H10"/>
    </sheetView>
  </sheetViews>
  <sheetFormatPr baseColWidth="10" defaultRowHeight="16" x14ac:dyDescent="0.2"/>
  <cols>
    <col min="1" max="1" width="16.140625" bestFit="1" customWidth="1"/>
    <col min="2" max="2" width="14.42578125" bestFit="1" customWidth="1"/>
    <col min="3" max="3" width="17.42578125" bestFit="1" customWidth="1"/>
    <col min="4" max="4" width="19.7109375" bestFit="1" customWidth="1"/>
    <col min="5" max="5" width="24.140625" bestFit="1" customWidth="1"/>
    <col min="6" max="6" width="22.5703125" bestFit="1" customWidth="1"/>
  </cols>
  <sheetData>
    <row r="1" spans="1:6" x14ac:dyDescent="0.2">
      <c r="A1" s="7" t="s">
        <v>17</v>
      </c>
      <c r="B1" s="7" t="s">
        <v>8</v>
      </c>
      <c r="C1" s="5" t="s">
        <v>9</v>
      </c>
      <c r="D1" s="5" t="s">
        <v>10</v>
      </c>
      <c r="E1" s="8" t="s">
        <v>11</v>
      </c>
      <c r="F1" s="9" t="s">
        <v>12</v>
      </c>
    </row>
    <row r="2" spans="1:6" x14ac:dyDescent="0.2">
      <c r="A2" s="5" t="s">
        <v>5</v>
      </c>
      <c r="B2" s="10">
        <v>5377.2669999999998</v>
      </c>
      <c r="C2" s="11">
        <v>16045.007</v>
      </c>
      <c r="D2" s="11">
        <f>C2/23430.229</f>
        <v>0.68479941019782609</v>
      </c>
      <c r="E2" s="10">
        <f>B2*D2</f>
        <v>3682.3492700762336</v>
      </c>
      <c r="F2" s="10">
        <f>E2/E2</f>
        <v>1</v>
      </c>
    </row>
    <row r="3" spans="1:6" x14ac:dyDescent="0.2">
      <c r="A3" s="5" t="s">
        <v>6</v>
      </c>
      <c r="B3" s="10">
        <v>23590.491999999998</v>
      </c>
      <c r="C3" s="11">
        <v>23430.228999999999</v>
      </c>
      <c r="D3" s="11">
        <f t="shared" ref="D3:D5" si="0">C3/23430.229</f>
        <v>1</v>
      </c>
      <c r="E3" s="10">
        <f t="shared" ref="E3:E5" si="1">B3*D3</f>
        <v>23590.491999999998</v>
      </c>
      <c r="F3" s="10">
        <f>E3/E2</f>
        <v>6.4063700289656715</v>
      </c>
    </row>
    <row r="4" spans="1:6" x14ac:dyDescent="0.2">
      <c r="A4" s="5" t="s">
        <v>7</v>
      </c>
      <c r="B4" s="10">
        <v>18624.764999999999</v>
      </c>
      <c r="C4" s="11">
        <v>17742.401000000002</v>
      </c>
      <c r="D4" s="11">
        <f t="shared" si="0"/>
        <v>0.75724402864351015</v>
      </c>
      <c r="E4" s="10">
        <f t="shared" si="1"/>
        <v>14103.492081138646</v>
      </c>
      <c r="F4" s="10">
        <f>E4/E2</f>
        <v>3.8300256294934969</v>
      </c>
    </row>
    <row r="5" spans="1:6" x14ac:dyDescent="0.2">
      <c r="A5" s="5" t="s">
        <v>13</v>
      </c>
      <c r="B5" s="10">
        <v>9100.8940000000002</v>
      </c>
      <c r="C5" s="11">
        <v>10320.379999999999</v>
      </c>
      <c r="D5" s="11">
        <f t="shared" si="0"/>
        <v>0.44047286093533272</v>
      </c>
      <c r="E5" s="10">
        <f t="shared" si="1"/>
        <v>4008.6968172492038</v>
      </c>
      <c r="F5" s="10">
        <f>E5/E2</f>
        <v>1.0886248216118333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0FAD1-EA68-A245-8B43-DC2C2E9AE2A1}">
  <dimension ref="A1:F5"/>
  <sheetViews>
    <sheetView zoomScale="97" workbookViewId="0">
      <selection activeCell="F6" sqref="F6"/>
    </sheetView>
  </sheetViews>
  <sheetFormatPr baseColWidth="10" defaultRowHeight="16" x14ac:dyDescent="0.2"/>
  <cols>
    <col min="1" max="1" width="17" customWidth="1"/>
    <col min="2" max="2" width="13.42578125" bestFit="1" customWidth="1"/>
    <col min="3" max="3" width="16.42578125" bestFit="1" customWidth="1"/>
    <col min="4" max="4" width="18.140625" bestFit="1" customWidth="1"/>
    <col min="5" max="5" width="22.5703125" bestFit="1" customWidth="1"/>
    <col min="6" max="6" width="20.85546875" bestFit="1" customWidth="1"/>
  </cols>
  <sheetData>
    <row r="1" spans="1:6" x14ac:dyDescent="0.2">
      <c r="A1" s="7" t="s">
        <v>18</v>
      </c>
      <c r="B1" s="1" t="s">
        <v>0</v>
      </c>
      <c r="C1" s="2" t="s">
        <v>1</v>
      </c>
      <c r="D1" s="2" t="s">
        <v>2</v>
      </c>
      <c r="E1" s="3" t="s">
        <v>3</v>
      </c>
      <c r="F1" s="4" t="s">
        <v>4</v>
      </c>
    </row>
    <row r="2" spans="1:6" x14ac:dyDescent="0.2">
      <c r="A2" s="5" t="s">
        <v>5</v>
      </c>
      <c r="B2" s="11">
        <v>5634.2879999999996</v>
      </c>
      <c r="C2" s="11">
        <v>21253.534</v>
      </c>
      <c r="D2" s="11">
        <f>C2/32961.72</f>
        <v>0.64479444640631611</v>
      </c>
      <c r="E2" s="11">
        <f>B2*D2</f>
        <v>3632.9576118537498</v>
      </c>
      <c r="F2" s="11">
        <f>E2/E2</f>
        <v>1</v>
      </c>
    </row>
    <row r="3" spans="1:6" x14ac:dyDescent="0.2">
      <c r="A3" s="5" t="s">
        <v>6</v>
      </c>
      <c r="B3" s="11">
        <v>13203.986000000001</v>
      </c>
      <c r="C3" s="11">
        <v>32961.718000000001</v>
      </c>
      <c r="D3" s="11">
        <f t="shared" ref="D3:D5" si="0">C3/32961.72</f>
        <v>0.99999993932355469</v>
      </c>
      <c r="E3" s="11">
        <f t="shared" ref="E3:E4" si="1">B3*D3</f>
        <v>13203.985198829067</v>
      </c>
      <c r="F3" s="11">
        <f>E3/E2</f>
        <v>3.6345002087958886</v>
      </c>
    </row>
    <row r="4" spans="1:6" x14ac:dyDescent="0.2">
      <c r="A4" s="5" t="s">
        <v>7</v>
      </c>
      <c r="B4" s="11">
        <v>12610.329</v>
      </c>
      <c r="C4" s="11">
        <v>26503.576000000001</v>
      </c>
      <c r="D4" s="11">
        <f t="shared" si="0"/>
        <v>0.80407138947846168</v>
      </c>
      <c r="E4" s="11">
        <f t="shared" si="1"/>
        <v>10139.60476081054</v>
      </c>
      <c r="F4" s="11">
        <f>E4/E2</f>
        <v>2.79100552335834</v>
      </c>
    </row>
    <row r="5" spans="1:6" x14ac:dyDescent="0.2">
      <c r="A5" s="5" t="s">
        <v>13</v>
      </c>
      <c r="B5" s="11">
        <v>1536.2339999999999</v>
      </c>
      <c r="C5" s="11">
        <v>7361.7309999999998</v>
      </c>
      <c r="D5" s="11">
        <f t="shared" si="0"/>
        <v>0.2233418341033174</v>
      </c>
      <c r="E5" s="11">
        <f>B5*D5</f>
        <v>343.10531917187569</v>
      </c>
      <c r="F5" s="11">
        <f>E5/E2</f>
        <v>9.4442422904241666E-2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8EF5F-ADE9-3343-AE60-B5F726C079CB}">
  <dimension ref="A1:F5"/>
  <sheetViews>
    <sheetView zoomScale="87" workbookViewId="0">
      <selection activeCell="D28" sqref="D28"/>
    </sheetView>
  </sheetViews>
  <sheetFormatPr baseColWidth="10" defaultRowHeight="16" x14ac:dyDescent="0.2"/>
  <cols>
    <col min="2" max="2" width="14.42578125" bestFit="1" customWidth="1"/>
    <col min="3" max="3" width="17.42578125" bestFit="1" customWidth="1"/>
    <col min="4" max="4" width="19.7109375" bestFit="1" customWidth="1"/>
    <col min="5" max="5" width="24.140625" bestFit="1" customWidth="1"/>
    <col min="6" max="6" width="22.5703125" bestFit="1" customWidth="1"/>
  </cols>
  <sheetData>
    <row r="1" spans="1:6" x14ac:dyDescent="0.2">
      <c r="A1" s="6"/>
      <c r="B1" s="7" t="s">
        <v>8</v>
      </c>
      <c r="C1" s="5" t="s">
        <v>9</v>
      </c>
      <c r="D1" s="5" t="s">
        <v>10</v>
      </c>
      <c r="E1" s="8" t="s">
        <v>11</v>
      </c>
      <c r="F1" s="9" t="s">
        <v>12</v>
      </c>
    </row>
    <row r="2" spans="1:6" x14ac:dyDescent="0.2">
      <c r="A2" s="5" t="s">
        <v>5</v>
      </c>
      <c r="B2" s="10">
        <v>2571.4259999999999</v>
      </c>
      <c r="C2" s="11">
        <v>4767.9120000000003</v>
      </c>
      <c r="D2" s="11">
        <f>C2/5936.619</f>
        <v>0.80313592635808373</v>
      </c>
      <c r="E2" s="10">
        <f>B2*D2</f>
        <v>2065.2046025712616</v>
      </c>
      <c r="F2" s="10">
        <f>E2/E2</f>
        <v>1</v>
      </c>
    </row>
    <row r="3" spans="1:6" x14ac:dyDescent="0.2">
      <c r="A3" s="5" t="s">
        <v>6</v>
      </c>
      <c r="B3" s="10">
        <v>5873.2049999999999</v>
      </c>
      <c r="C3" s="11">
        <v>5936.6189999999997</v>
      </c>
      <c r="D3" s="11">
        <f t="shared" ref="D3:D5" si="0">C3/5936.619</f>
        <v>1</v>
      </c>
      <c r="E3" s="10">
        <f t="shared" ref="E3:E5" si="1">B3*D3</f>
        <v>5873.2049999999999</v>
      </c>
      <c r="F3" s="10">
        <f>E3/E2</f>
        <v>2.8438852947972451</v>
      </c>
    </row>
    <row r="4" spans="1:6" x14ac:dyDescent="0.2">
      <c r="A4" s="5" t="s">
        <v>7</v>
      </c>
      <c r="B4" s="10">
        <v>6071.3760000000002</v>
      </c>
      <c r="C4" s="11">
        <v>5446.6189999999997</v>
      </c>
      <c r="D4" s="11">
        <f t="shared" si="0"/>
        <v>0.91746143722546447</v>
      </c>
      <c r="E4" s="10">
        <f t="shared" si="1"/>
        <v>5570.2533508961915</v>
      </c>
      <c r="F4" s="10">
        <f>E4/E2</f>
        <v>2.6971920089472032</v>
      </c>
    </row>
    <row r="5" spans="1:6" x14ac:dyDescent="0.2">
      <c r="A5" s="5" t="s">
        <v>13</v>
      </c>
      <c r="B5" s="10">
        <v>4734.2049999999999</v>
      </c>
      <c r="C5" s="11">
        <v>4118.9120000000003</v>
      </c>
      <c r="D5" s="11">
        <f t="shared" si="0"/>
        <v>0.6938144421934439</v>
      </c>
      <c r="E5" s="10">
        <f t="shared" si="1"/>
        <v>3284.6598013044131</v>
      </c>
      <c r="F5" s="10">
        <f>E5/E2</f>
        <v>1.5904767000881566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55C9F-0322-B64E-8C49-FFDF14DB324D}">
  <dimension ref="A1:F6"/>
  <sheetViews>
    <sheetView zoomScale="106" workbookViewId="0">
      <selection activeCell="C18" sqref="C18"/>
    </sheetView>
  </sheetViews>
  <sheetFormatPr baseColWidth="10" defaultRowHeight="16" x14ac:dyDescent="0.2"/>
  <cols>
    <col min="2" max="2" width="12.85546875" bestFit="1" customWidth="1"/>
    <col min="3" max="3" width="15.7109375" bestFit="1" customWidth="1"/>
    <col min="4" max="4" width="18.140625" bestFit="1" customWidth="1"/>
    <col min="5" max="5" width="22.5703125" bestFit="1" customWidth="1"/>
    <col min="6" max="6" width="20.85546875" bestFit="1" customWidth="1"/>
  </cols>
  <sheetData>
    <row r="1" spans="1:6" x14ac:dyDescent="0.2">
      <c r="B1" s="1" t="s">
        <v>0</v>
      </c>
      <c r="C1" s="2" t="s">
        <v>1</v>
      </c>
      <c r="D1" s="2" t="s">
        <v>2</v>
      </c>
      <c r="E1" s="3" t="s">
        <v>3</v>
      </c>
      <c r="F1" s="4" t="s">
        <v>4</v>
      </c>
    </row>
    <row r="2" spans="1:6" x14ac:dyDescent="0.2">
      <c r="A2" s="5" t="s">
        <v>5</v>
      </c>
      <c r="B2" s="11">
        <v>3026.962</v>
      </c>
      <c r="C2" s="11">
        <v>7536.2460000000001</v>
      </c>
      <c r="D2" s="6">
        <f>C2/10909.2</f>
        <v>0.69081564184358157</v>
      </c>
      <c r="E2" s="11">
        <f>B2*D2</f>
        <v>2091.0726968661315</v>
      </c>
      <c r="F2" s="11">
        <f>E2/E2</f>
        <v>1</v>
      </c>
    </row>
    <row r="3" spans="1:6" x14ac:dyDescent="0.2">
      <c r="A3" s="5" t="s">
        <v>6</v>
      </c>
      <c r="B3" s="11">
        <v>4736.3760000000002</v>
      </c>
      <c r="C3" s="11">
        <v>9374.0040000000008</v>
      </c>
      <c r="D3" s="6">
        <f t="shared" ref="D3:D5" si="0">C3/10909.2</f>
        <v>0.85927510724892753</v>
      </c>
      <c r="E3" s="11">
        <f t="shared" ref="E3:E5" si="1">B3*D3</f>
        <v>4069.8499953712467</v>
      </c>
      <c r="F3" s="11">
        <f>E3/E2</f>
        <v>1.9462977071388707</v>
      </c>
    </row>
    <row r="4" spans="1:6" x14ac:dyDescent="0.2">
      <c r="A4" s="5" t="s">
        <v>7</v>
      </c>
      <c r="B4" s="11">
        <v>5432.74</v>
      </c>
      <c r="C4" s="11">
        <v>10909.196</v>
      </c>
      <c r="D4" s="6">
        <f t="shared" si="0"/>
        <v>0.99999963333699993</v>
      </c>
      <c r="E4" s="11">
        <f t="shared" si="1"/>
        <v>5432.7380080152525</v>
      </c>
      <c r="F4" s="11">
        <f>E4/E2</f>
        <v>2.5980627149678917</v>
      </c>
    </row>
    <row r="5" spans="1:6" x14ac:dyDescent="0.2">
      <c r="A5" s="5" t="s">
        <v>13</v>
      </c>
      <c r="B5" s="11">
        <v>2134.6689999999999</v>
      </c>
      <c r="C5" s="11">
        <v>9443.66</v>
      </c>
      <c r="D5" s="6">
        <f t="shared" si="0"/>
        <v>0.86566017673156592</v>
      </c>
      <c r="E5" s="11">
        <f t="shared" si="1"/>
        <v>1847.897943803395</v>
      </c>
      <c r="F5" s="11">
        <f>E5/E2</f>
        <v>0.88370813055558517</v>
      </c>
    </row>
    <row r="6" spans="1:6" x14ac:dyDescent="0.2">
      <c r="B6" s="6"/>
      <c r="C6" s="6"/>
      <c r="D6" s="6"/>
      <c r="E6" s="6"/>
      <c r="F6" s="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0A9B3-6D6C-A84D-A4D6-293F976CD5CB}">
  <dimension ref="A1:F6"/>
  <sheetViews>
    <sheetView workbookViewId="0">
      <selection activeCell="G14" sqref="G14"/>
    </sheetView>
  </sheetViews>
  <sheetFormatPr baseColWidth="10" defaultRowHeight="16" x14ac:dyDescent="0.2"/>
  <cols>
    <col min="2" max="2" width="14.42578125" bestFit="1" customWidth="1"/>
    <col min="3" max="3" width="17.42578125" bestFit="1" customWidth="1"/>
    <col min="4" max="4" width="19.7109375" bestFit="1" customWidth="1"/>
    <col min="5" max="5" width="24.140625" bestFit="1" customWidth="1"/>
    <col min="6" max="6" width="22.5703125" bestFit="1" customWidth="1"/>
  </cols>
  <sheetData>
    <row r="1" spans="1:6" x14ac:dyDescent="0.2">
      <c r="A1" s="6"/>
      <c r="B1" s="7" t="s">
        <v>8</v>
      </c>
      <c r="C1" s="5" t="s">
        <v>9</v>
      </c>
      <c r="D1" s="5" t="s">
        <v>10</v>
      </c>
      <c r="E1" s="8" t="s">
        <v>11</v>
      </c>
      <c r="F1" s="9" t="s">
        <v>12</v>
      </c>
    </row>
    <row r="2" spans="1:6" x14ac:dyDescent="0.2">
      <c r="A2" s="5" t="s">
        <v>5</v>
      </c>
      <c r="B2" s="10">
        <v>2026.0119999999999</v>
      </c>
      <c r="C2" s="11">
        <v>3365.5479999999998</v>
      </c>
      <c r="D2" s="11">
        <f>C2/5785.083</f>
        <v>0.58176313114263012</v>
      </c>
      <c r="E2" s="10">
        <f>B2*D2</f>
        <v>1178.6590848525423</v>
      </c>
      <c r="F2" s="10">
        <f>E2/E2</f>
        <v>1</v>
      </c>
    </row>
    <row r="3" spans="1:6" x14ac:dyDescent="0.2">
      <c r="A3" s="5" t="s">
        <v>6</v>
      </c>
      <c r="B3" s="10">
        <v>6387.326</v>
      </c>
      <c r="C3" s="11">
        <v>5785.0829999999996</v>
      </c>
      <c r="D3" s="11">
        <f t="shared" ref="D3:D5" si="0">C3/5785.083</f>
        <v>1</v>
      </c>
      <c r="E3" s="10">
        <f t="shared" ref="E3:E5" si="1">B3*D3</f>
        <v>6387.326</v>
      </c>
      <c r="F3" s="10">
        <f>E3/E2</f>
        <v>5.4191462841853841</v>
      </c>
    </row>
    <row r="4" spans="1:6" x14ac:dyDescent="0.2">
      <c r="A4" s="5" t="s">
        <v>7</v>
      </c>
      <c r="B4" s="10">
        <v>6164.1540000000005</v>
      </c>
      <c r="C4" s="11">
        <v>3379.6689999999999</v>
      </c>
      <c r="D4" s="11">
        <f t="shared" si="0"/>
        <v>0.58420406414220849</v>
      </c>
      <c r="E4" s="10">
        <f t="shared" si="1"/>
        <v>3601.1238187984513</v>
      </c>
      <c r="F4" s="10">
        <f>E4/E2</f>
        <v>3.0552717618504377</v>
      </c>
    </row>
    <row r="5" spans="1:6" x14ac:dyDescent="0.2">
      <c r="A5" s="5" t="s">
        <v>13</v>
      </c>
      <c r="B5" s="10">
        <v>3854.74</v>
      </c>
      <c r="C5" s="11">
        <v>1246.0619999999999</v>
      </c>
      <c r="D5" s="11">
        <f t="shared" si="0"/>
        <v>0.21539224242763674</v>
      </c>
      <c r="E5" s="10">
        <f t="shared" si="1"/>
        <v>830.28109257550841</v>
      </c>
      <c r="F5" s="10">
        <f>E5/E2</f>
        <v>0.70442853514286685</v>
      </c>
    </row>
    <row r="6" spans="1:6" x14ac:dyDescent="0.2">
      <c r="B6" s="12"/>
      <c r="C6" s="12"/>
      <c r="D6" s="12"/>
      <c r="E6" s="12"/>
      <c r="F6" s="1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342D-0D65-0540-9696-E0972FB16447}">
  <dimension ref="A1:F5"/>
  <sheetViews>
    <sheetView workbookViewId="0">
      <selection activeCell="A6" sqref="A6:XFD9"/>
    </sheetView>
  </sheetViews>
  <sheetFormatPr baseColWidth="10" defaultRowHeight="16" x14ac:dyDescent="0.2"/>
  <cols>
    <col min="2" max="2" width="12.85546875" bestFit="1" customWidth="1"/>
    <col min="3" max="3" width="15.7109375" bestFit="1" customWidth="1"/>
    <col min="4" max="4" width="18.140625" bestFit="1" customWidth="1"/>
    <col min="5" max="5" width="22.5703125" bestFit="1" customWidth="1"/>
    <col min="6" max="6" width="20.85546875" bestFit="1" customWidth="1"/>
  </cols>
  <sheetData>
    <row r="1" spans="1:6" x14ac:dyDescent="0.2">
      <c r="B1" s="1" t="s">
        <v>0</v>
      </c>
      <c r="C1" s="2" t="s">
        <v>1</v>
      </c>
      <c r="D1" s="2" t="s">
        <v>2</v>
      </c>
      <c r="E1" s="3" t="s">
        <v>3</v>
      </c>
      <c r="F1" s="4" t="s">
        <v>4</v>
      </c>
    </row>
    <row r="2" spans="1:6" x14ac:dyDescent="0.2">
      <c r="A2" s="5" t="s">
        <v>5</v>
      </c>
      <c r="B2" s="11">
        <v>3121.8409999999999</v>
      </c>
      <c r="C2" s="11">
        <v>5592.0039999999999</v>
      </c>
      <c r="D2" s="11">
        <f>C2/9498.49</f>
        <v>0.58872557638108791</v>
      </c>
      <c r="E2" s="11">
        <f>B2*D2</f>
        <v>1837.9076420951119</v>
      </c>
      <c r="F2" s="11">
        <f>E2/E2</f>
        <v>1</v>
      </c>
    </row>
    <row r="3" spans="1:6" x14ac:dyDescent="0.2">
      <c r="A3" s="5" t="s">
        <v>6</v>
      </c>
      <c r="B3" s="11">
        <v>5078.2049999999999</v>
      </c>
      <c r="C3" s="11">
        <v>8088.5389999999998</v>
      </c>
      <c r="D3" s="11">
        <f t="shared" ref="D3:D5" si="0">C3/9498.49</f>
        <v>0.8515605111970429</v>
      </c>
      <c r="E3" s="11">
        <f t="shared" ref="E3:E5" si="1">B3*D3</f>
        <v>4324.3988457633795</v>
      </c>
      <c r="F3" s="11">
        <f>E3/E2</f>
        <v>2.3528923579825842</v>
      </c>
    </row>
    <row r="4" spans="1:6" x14ac:dyDescent="0.2">
      <c r="A4" s="5" t="s">
        <v>7</v>
      </c>
      <c r="B4" s="11">
        <v>5873.5690000000004</v>
      </c>
      <c r="C4" s="11">
        <v>9498.4889999999996</v>
      </c>
      <c r="D4" s="11">
        <f t="shared" si="0"/>
        <v>0.99999989472010808</v>
      </c>
      <c r="E4" s="11">
        <f t="shared" si="1"/>
        <v>5873.5683816312912</v>
      </c>
      <c r="F4" s="11">
        <f>E4/E2</f>
        <v>3.1957908259937109</v>
      </c>
    </row>
    <row r="5" spans="1:6" x14ac:dyDescent="0.2">
      <c r="A5" s="5" t="s">
        <v>13</v>
      </c>
      <c r="B5" s="11">
        <v>2213.7190000000001</v>
      </c>
      <c r="C5" s="11">
        <v>7103.5389999999998</v>
      </c>
      <c r="D5" s="11">
        <f t="shared" si="0"/>
        <v>0.74785981771839527</v>
      </c>
      <c r="E5" s="11">
        <f t="shared" si="1"/>
        <v>1655.5514878197482</v>
      </c>
      <c r="F5" s="11">
        <f>E5/E2</f>
        <v>0.90078056693453434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Collated</vt:lpstr>
      <vt:lpstr>n1-peIF2a</vt:lpstr>
      <vt:lpstr>n1-pIRE1a</vt:lpstr>
      <vt:lpstr>n2-peIF2a</vt:lpstr>
      <vt:lpstr>n2-pIRE1a</vt:lpstr>
      <vt:lpstr>n3-peIF2a</vt:lpstr>
      <vt:lpstr>n3-pIRE1a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Hoffman, Coryn Leann</dc:creator>
  <cp:lastModifiedBy>Hoffman, Coryn Leann</cp:lastModifiedBy>
  <dcterms:created xsi:type="dcterms:W3CDTF">2024-09-30T18:17:23Z</dcterms:created>
  <dcterms:modified xsi:type="dcterms:W3CDTF">2024-11-13T17:19:25Z</dcterms:modified>
</cp:coreProperties>
</file>